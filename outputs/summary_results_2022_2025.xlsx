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eadline" sheetId="1" state="visible" r:id="rId3"/>
    <sheet name="Summary" sheetId="2" state="visible" r:id="rId4"/>
    <sheet name="Aggregates" sheetId="3" state="hidden" r:id="rId5"/>
    <sheet name="Notes" sheetId="4" state="visible" r:id="rId6"/>
  </sheets>
  <definedNames>
    <definedName function="false" hidden="true" localSheetId="2" name="_xlnm._FilterDatabase" vbProcedure="false">Aggregates!$A$1:$K$21</definedName>
    <definedName function="false" hidden="true" localSheetId="0" name="_xlnm._FilterDatabase" vbProcedure="false">Headline!$A$1:$G$16</definedName>
    <definedName function="false" hidden="true" localSheetId="3" name="_xlnm._FilterDatabase" vbProcedure="false">Notes!$A$1:$B$10</definedName>
    <definedName function="false" hidden="true" localSheetId="1" name="_xlnm._FilterDatabase" vbProcedure="false">Summary!$A$1:$U$21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<sst xmlns="http://schemas.openxmlformats.org/spreadsheetml/2006/main" count="142" uniqueCount="52">
  <si>
    <t xml:space="preserve">source</t>
  </si>
  <si>
    <t xml:space="preserve">year</t>
  </si>
  <si>
    <t xml:space="preserve">AI+MLS grant count</t>
  </si>
  <si>
    <t xml:space="preserve">AI+MLS funding</t>
  </si>
  <si>
    <t xml:space="preserve">headline denominator</t>
  </si>
  <si>
    <t xml:space="preserve">denominator funding</t>
  </si>
  <si>
    <t xml:space="preserve">headline funding proportion</t>
  </si>
  <si>
    <t xml:space="preserve">AI funding</t>
  </si>
  <si>
    <t xml:space="preserve">all funding</t>
  </si>
  <si>
    <t xml:space="preserve">total_grant_count</t>
  </si>
  <si>
    <t xml:space="preserve">total_funding</t>
  </si>
  <si>
    <t xml:space="preserve">ai_grant_count</t>
  </si>
  <si>
    <t xml:space="preserve">ai_funding</t>
  </si>
  <si>
    <t xml:space="preserve">mls_grant_count</t>
  </si>
  <si>
    <t xml:space="preserve">mls_funding</t>
  </si>
  <si>
    <t xml:space="preserve">ai_mls_grant_count</t>
  </si>
  <si>
    <t xml:space="preserve">ai_mls_funding</t>
  </si>
  <si>
    <t xml:space="preserve">AI+MLS % all grants</t>
  </si>
  <si>
    <t xml:space="preserve">AI+MLS % AI grants</t>
  </si>
  <si>
    <t xml:space="preserve">AI+MLS % MLS grants</t>
  </si>
  <si>
    <t xml:space="preserve">AI+MLS % all funding</t>
  </si>
  <si>
    <t xml:space="preserve">AI+MLS % AI funding</t>
  </si>
  <si>
    <t xml:space="preserve">AI+MLS % MLS funding</t>
  </si>
  <si>
    <t xml:space="preserve">AI % all funding</t>
  </si>
  <si>
    <t xml:space="preserve">MLS % all funding</t>
  </si>
  <si>
    <t xml:space="preserve">review_required_count</t>
  </si>
  <si>
    <t xml:space="preserve">ARC</t>
  </si>
  <si>
    <t xml:space="preserve">2022-2025</t>
  </si>
  <si>
    <t xml:space="preserve">NHMRC</t>
  </si>
  <si>
    <t xml:space="preserve">MRFF</t>
  </si>
  <si>
    <t xml:space="preserve">COMBINED</t>
  </si>
  <si>
    <t xml:space="preserve">not defined for combined</t>
  </si>
  <si>
    <t xml:space="preserve">Item</t>
  </si>
  <si>
    <t xml:space="preserve">Definition</t>
  </si>
  <si>
    <t xml:space="preserve">Period</t>
  </si>
  <si>
    <t xml:space="preserve">2022-2025 inclusive.</t>
  </si>
  <si>
    <t xml:space="preserve">ARC headline proportion</t>
  </si>
  <si>
    <t xml:space="preserve">AI + molecular/life-science funding divided by all ARC AI funding.</t>
  </si>
  <si>
    <t xml:space="preserve">NHMRC/MRFF headline proportion</t>
  </si>
  <si>
    <t xml:space="preserve">AI + molecular/life-science funding divided by all grant funding for that funder.</t>
  </si>
  <si>
    <t xml:space="preserve">AI review records</t>
  </si>
  <si>
    <t xml:space="preserve">Review-only AI candidates are excluded from headline AI totals unless manually adjudicated and the analysis is rerun.</t>
  </si>
  <si>
    <t xml:space="preserve">MLS review records</t>
  </si>
  <si>
    <t xml:space="preserve">Records with one generic biological signal in a clinical FoR are flagged for review and excluded from headline molecular/life-science totals.</t>
  </si>
  <si>
    <t xml:space="preserve">ARC year</t>
  </si>
  <si>
    <t xml:space="preserve">Funding commencement year.</t>
  </si>
  <si>
    <t xml:space="preserve">NHMRC year</t>
  </si>
  <si>
    <t xml:space="preserve">Published application-round/source year.</t>
  </si>
  <si>
    <t xml:space="preserve">MRFF year</t>
  </si>
  <si>
    <t xml:space="preserve">Contract start year.</t>
  </si>
  <si>
    <t xml:space="preserve">Aggregates sheet</t>
  </si>
  <si>
    <t xml:space="preserve">Hidden sheet containing the pandas-generated yearly counts and dollar totals. Visible proportions are Excel formulas.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</si>
</sst>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[RED]&quot;($&quot;#,##0\);\-"/>
    <numFmt numFmtId="166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8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tr">
        <f aca="false">Summary!A2</f>
        <v>ARC</v>
      </c>
      <c r="B2" s="2" t="n">
        <f aca="false">Summary!B2</f>
        <v>2022</v>
      </c>
      <c r="C2" s="2" t="n">
        <f aca="false">Summary!I2</f>
        <v>5</v>
      </c>
      <c r="D2" s="3" t="n">
        <f aca="false">Summary!J2</f>
        <v>2162023</v>
      </c>
      <c r="E2" s="2" t="s">
        <v>7</v>
      </c>
      <c r="F2" s="3" t="n">
        <f aca="false">Summary!F2</f>
        <v>34374615</v>
      </c>
      <c r="G2" s="4" t="n">
        <f aca="false">Summary!S2</f>
        <v>0.0628959189797471</v>
      </c>
    </row>
    <row r="3" customFormat="false" ht="15" hidden="false" customHeight="false" outlineLevel="0" collapsed="false">
      <c r="A3" s="2" t="str">
        <f aca="false">Summary!A3</f>
        <v>ARC</v>
      </c>
      <c r="B3" s="2" t="n">
        <f aca="false">Summary!B3</f>
        <v>2023</v>
      </c>
      <c r="C3" s="2" t="n">
        <f aca="false">Summary!I3</f>
        <v>5</v>
      </c>
      <c r="D3" s="3" t="n">
        <f aca="false">Summary!J3</f>
        <v>3157263</v>
      </c>
      <c r="E3" s="2" t="s">
        <v>7</v>
      </c>
      <c r="F3" s="3" t="n">
        <f aca="false">Summary!F3</f>
        <v>50915033</v>
      </c>
      <c r="G3" s="4" t="n">
        <f aca="false">Summary!S3</f>
        <v>0.0620104282363914</v>
      </c>
    </row>
    <row r="4" customFormat="false" ht="15" hidden="false" customHeight="false" outlineLevel="0" collapsed="false">
      <c r="A4" s="2" t="str">
        <f aca="false">Summary!A4</f>
        <v>ARC</v>
      </c>
      <c r="B4" s="2" t="n">
        <f aca="false">Summary!B4</f>
        <v>2024</v>
      </c>
      <c r="C4" s="2" t="n">
        <f aca="false">Summary!I4</f>
        <v>7</v>
      </c>
      <c r="D4" s="3" t="n">
        <f aca="false">Summary!J4</f>
        <v>4890960</v>
      </c>
      <c r="E4" s="2" t="s">
        <v>7</v>
      </c>
      <c r="F4" s="3" t="n">
        <f aca="false">Summary!F4</f>
        <v>50293519</v>
      </c>
      <c r="G4" s="4" t="n">
        <f aca="false">Summary!S4</f>
        <v>0.0972483154340423</v>
      </c>
    </row>
    <row r="5" customFormat="false" ht="15" hidden="false" customHeight="false" outlineLevel="0" collapsed="false">
      <c r="A5" s="2" t="str">
        <f aca="false">Summary!A5</f>
        <v>ARC</v>
      </c>
      <c r="B5" s="2" t="n">
        <f aca="false">Summary!B5</f>
        <v>2025</v>
      </c>
      <c r="C5" s="2" t="n">
        <f aca="false">Summary!I5</f>
        <v>13</v>
      </c>
      <c r="D5" s="3" t="n">
        <f aca="false">Summary!J5</f>
        <v>12228209</v>
      </c>
      <c r="E5" s="2" t="s">
        <v>7</v>
      </c>
      <c r="F5" s="3" t="n">
        <f aca="false">Summary!F5</f>
        <v>101499058</v>
      </c>
      <c r="G5" s="4" t="n">
        <f aca="false">Summary!S5</f>
        <v>0.120476083630254</v>
      </c>
    </row>
    <row r="6" customFormat="false" ht="15" hidden="false" customHeight="false" outlineLevel="0" collapsed="false">
      <c r="A6" s="2" t="str">
        <f aca="false">Summary!A6</f>
        <v>ARC</v>
      </c>
      <c r="B6" s="2" t="str">
        <f aca="false">Summary!B6</f>
        <v>2022-2025</v>
      </c>
      <c r="C6" s="2" t="n">
        <f aca="false">Summary!I6</f>
        <v>30</v>
      </c>
      <c r="D6" s="3" t="n">
        <f aca="false">Summary!J6</f>
        <v>22438455</v>
      </c>
      <c r="E6" s="2" t="s">
        <v>7</v>
      </c>
      <c r="F6" s="3" t="n">
        <f aca="false">Summary!F6</f>
        <v>237082225</v>
      </c>
      <c r="G6" s="4" t="n">
        <f aca="false">Summary!S6</f>
        <v>0.0946441893735391</v>
      </c>
    </row>
    <row r="7" customFormat="false" ht="15" hidden="false" customHeight="false" outlineLevel="0" collapsed="false">
      <c r="A7" s="2" t="str">
        <f aca="false">Summary!A7</f>
        <v>NHMRC</v>
      </c>
      <c r="B7" s="2" t="n">
        <f aca="false">Summary!B7</f>
        <v>2022</v>
      </c>
      <c r="C7" s="2" t="n">
        <f aca="false">Summary!I7</f>
        <v>11</v>
      </c>
      <c r="D7" s="3" t="n">
        <f aca="false">Summary!J7</f>
        <v>15449869.89</v>
      </c>
      <c r="E7" s="2" t="s">
        <v>8</v>
      </c>
      <c r="F7" s="3" t="n">
        <f aca="false">Summary!D7</f>
        <v>900071183.59</v>
      </c>
      <c r="G7" s="4" t="n">
        <f aca="false">Summary!S7</f>
        <v>0.0171651644577455</v>
      </c>
    </row>
    <row r="8" customFormat="false" ht="15" hidden="false" customHeight="false" outlineLevel="0" collapsed="false">
      <c r="A8" s="2" t="str">
        <f aca="false">Summary!A8</f>
        <v>NHMRC</v>
      </c>
      <c r="B8" s="2" t="n">
        <f aca="false">Summary!B8</f>
        <v>2023</v>
      </c>
      <c r="C8" s="2" t="n">
        <f aca="false">Summary!I8</f>
        <v>12</v>
      </c>
      <c r="D8" s="3" t="n">
        <f aca="false">Summary!J8</f>
        <v>21710689.2</v>
      </c>
      <c r="E8" s="2" t="s">
        <v>8</v>
      </c>
      <c r="F8" s="3" t="n">
        <f aca="false">Summary!D8</f>
        <v>908263818.35</v>
      </c>
      <c r="G8" s="4" t="n">
        <f aca="false">Summary!S8</f>
        <v>0.0239035055249044</v>
      </c>
    </row>
    <row r="9" customFormat="false" ht="15" hidden="false" customHeight="false" outlineLevel="0" collapsed="false">
      <c r="A9" s="2" t="str">
        <f aca="false">Summary!A9</f>
        <v>NHMRC</v>
      </c>
      <c r="B9" s="2" t="n">
        <f aca="false">Summary!B9</f>
        <v>2024</v>
      </c>
      <c r="C9" s="2" t="n">
        <f aca="false">Summary!I9</f>
        <v>17</v>
      </c>
      <c r="D9" s="3" t="n">
        <f aca="false">Summary!J9</f>
        <v>23292562.3</v>
      </c>
      <c r="E9" s="2" t="s">
        <v>8</v>
      </c>
      <c r="F9" s="3" t="n">
        <f aca="false">Summary!D9</f>
        <v>1005205527.93</v>
      </c>
      <c r="G9" s="4" t="n">
        <f aca="false">Summary!S9</f>
        <v>0.0231719401185208</v>
      </c>
    </row>
    <row r="10" customFormat="false" ht="15" hidden="false" customHeight="false" outlineLevel="0" collapsed="false">
      <c r="A10" s="2" t="str">
        <f aca="false">Summary!A10</f>
        <v>NHMRC</v>
      </c>
      <c r="B10" s="2" t="n">
        <f aca="false">Summary!B10</f>
        <v>2025</v>
      </c>
      <c r="C10" s="2" t="n">
        <f aca="false">Summary!I10</f>
        <v>17</v>
      </c>
      <c r="D10" s="3" t="n">
        <f aca="false">Summary!J10</f>
        <v>21366604.56</v>
      </c>
      <c r="E10" s="2" t="s">
        <v>8</v>
      </c>
      <c r="F10" s="3" t="n">
        <f aca="false">Summary!D10</f>
        <v>1078625881.62</v>
      </c>
      <c r="G10" s="4" t="n">
        <f aca="false">Summary!S10</f>
        <v>0.0198090968556301</v>
      </c>
    </row>
    <row r="11" customFormat="false" ht="15" hidden="false" customHeight="false" outlineLevel="0" collapsed="false">
      <c r="A11" s="2" t="str">
        <f aca="false">Summary!A11</f>
        <v>NHMRC</v>
      </c>
      <c r="B11" s="2" t="str">
        <f aca="false">Summary!B11</f>
        <v>2022-2025</v>
      </c>
      <c r="C11" s="2" t="n">
        <f aca="false">Summary!I11</f>
        <v>57</v>
      </c>
      <c r="D11" s="3" t="n">
        <f aca="false">Summary!J11</f>
        <v>81819725.95</v>
      </c>
      <c r="E11" s="2" t="s">
        <v>8</v>
      </c>
      <c r="F11" s="3" t="n">
        <f aca="false">Summary!D11</f>
        <v>3892166411.49</v>
      </c>
      <c r="G11" s="4" t="n">
        <f aca="false">Summary!S11</f>
        <v>0.0210216412403286</v>
      </c>
    </row>
    <row r="12" customFormat="false" ht="15" hidden="false" customHeight="false" outlineLevel="0" collapsed="false">
      <c r="A12" s="2" t="str">
        <f aca="false">Summary!A12</f>
        <v>MRFF</v>
      </c>
      <c r="B12" s="2" t="n">
        <f aca="false">Summary!B12</f>
        <v>2022</v>
      </c>
      <c r="C12" s="2" t="n">
        <f aca="false">Summary!I12</f>
        <v>2</v>
      </c>
      <c r="D12" s="3" t="n">
        <f aca="false">Summary!J12</f>
        <v>1404055.7</v>
      </c>
      <c r="E12" s="2" t="s">
        <v>8</v>
      </c>
      <c r="F12" s="3" t="n">
        <f aca="false">Summary!D12</f>
        <v>534485030.22</v>
      </c>
      <c r="G12" s="4" t="n">
        <f aca="false">Summary!S12</f>
        <v>0.00262693175788679</v>
      </c>
    </row>
    <row r="13" customFormat="false" ht="15" hidden="false" customHeight="false" outlineLevel="0" collapsed="false">
      <c r="A13" s="2" t="str">
        <f aca="false">Summary!A13</f>
        <v>MRFF</v>
      </c>
      <c r="B13" s="2" t="n">
        <f aca="false">Summary!B13</f>
        <v>2023</v>
      </c>
      <c r="C13" s="2" t="n">
        <f aca="false">Summary!I13</f>
        <v>5</v>
      </c>
      <c r="D13" s="3" t="n">
        <f aca="false">Summary!J13</f>
        <v>11531602.96</v>
      </c>
      <c r="E13" s="2" t="s">
        <v>8</v>
      </c>
      <c r="F13" s="3" t="n">
        <f aca="false">Summary!D13</f>
        <v>697791254.42</v>
      </c>
      <c r="G13" s="4" t="n">
        <f aca="false">Summary!S13</f>
        <v>0.0165258634110928</v>
      </c>
    </row>
    <row r="14" customFormat="false" ht="15" hidden="false" customHeight="false" outlineLevel="0" collapsed="false">
      <c r="A14" s="2" t="str">
        <f aca="false">Summary!A14</f>
        <v>MRFF</v>
      </c>
      <c r="B14" s="2" t="n">
        <f aca="false">Summary!B14</f>
        <v>2024</v>
      </c>
      <c r="C14" s="2" t="n">
        <f aca="false">Summary!I14</f>
        <v>3</v>
      </c>
      <c r="D14" s="3" t="n">
        <f aca="false">Summary!J14</f>
        <v>11999010.36</v>
      </c>
      <c r="E14" s="2" t="s">
        <v>8</v>
      </c>
      <c r="F14" s="3" t="n">
        <f aca="false">Summary!D14</f>
        <v>734613711.13</v>
      </c>
      <c r="G14" s="4" t="n">
        <f aca="false">Summary!S14</f>
        <v>0.0163337685891308</v>
      </c>
    </row>
    <row r="15" customFormat="false" ht="15" hidden="false" customHeight="false" outlineLevel="0" collapsed="false">
      <c r="A15" s="2" t="str">
        <f aca="false">Summary!A15</f>
        <v>MRFF</v>
      </c>
      <c r="B15" s="2" t="n">
        <f aca="false">Summary!B15</f>
        <v>2025</v>
      </c>
      <c r="C15" s="2" t="n">
        <f aca="false">Summary!I15</f>
        <v>7</v>
      </c>
      <c r="D15" s="3" t="n">
        <f aca="false">Summary!J15</f>
        <v>17583889.42</v>
      </c>
      <c r="E15" s="2" t="s">
        <v>8</v>
      </c>
      <c r="F15" s="3" t="n">
        <f aca="false">Summary!D15</f>
        <v>688565196.33</v>
      </c>
      <c r="G15" s="4" t="n">
        <f aca="false">Summary!S15</f>
        <v>0.0255370000019182</v>
      </c>
    </row>
    <row r="16" customFormat="false" ht="15" hidden="false" customHeight="false" outlineLevel="0" collapsed="false">
      <c r="A16" s="2" t="str">
        <f aca="false">Summary!A16</f>
        <v>MRFF</v>
      </c>
      <c r="B16" s="2" t="str">
        <f aca="false">Summary!B16</f>
        <v>2022-2025</v>
      </c>
      <c r="C16" s="2" t="n">
        <f aca="false">Summary!I16</f>
        <v>17</v>
      </c>
      <c r="D16" s="3" t="n">
        <f aca="false">Summary!J16</f>
        <v>42518558.44</v>
      </c>
      <c r="E16" s="2" t="s">
        <v>8</v>
      </c>
      <c r="F16" s="3" t="n">
        <f aca="false">Summary!D16</f>
        <v>2655455192.1</v>
      </c>
      <c r="G16" s="4" t="n">
        <f aca="false">Summary!S16</f>
        <v>0.0160117777797543</v>
      </c>
    </row>
  </sheetData>
  <autoFilter ref="A1:G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3" min="11" style="0" width="16"/>
    <col collapsed="false" customWidth="true" hidden="false" outlineLevel="0" max="19" min="14" style="0" width="18"/>
    <col collapsed="false" customWidth="true" hidden="false" outlineLevel="0" max="21" min="20" style="0" width="16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6</v>
      </c>
      <c r="T1" s="1" t="s">
        <v>4</v>
      </c>
      <c r="U1" s="1" t="s">
        <v>25</v>
      </c>
    </row>
    <row r="2" customFormat="false" ht="15" hidden="false" customHeight="false" outlineLevel="0" collapsed="false">
      <c r="A2" s="2" t="s">
        <v>26</v>
      </c>
      <c r="B2" s="2" t="n">
        <v>2022</v>
      </c>
      <c r="C2" s="2" t="n">
        <f aca="false">Aggregates!C2</f>
        <v>1095</v>
      </c>
      <c r="D2" s="3" t="n">
        <f aca="false">Aggregates!D2</f>
        <v>634362524</v>
      </c>
      <c r="E2" s="2" t="n">
        <f aca="false">Aggregates!E2</f>
        <v>76</v>
      </c>
      <c r="F2" s="3" t="n">
        <f aca="false">Aggregates!F2</f>
        <v>34374615</v>
      </c>
      <c r="G2" s="2" t="n">
        <f aca="false">Aggregates!G2</f>
        <v>252</v>
      </c>
      <c r="H2" s="3" t="n">
        <f aca="false">Aggregates!H2</f>
        <v>150959470</v>
      </c>
      <c r="I2" s="2" t="n">
        <f aca="false">Aggregates!I2</f>
        <v>5</v>
      </c>
      <c r="J2" s="3" t="n">
        <f aca="false">Aggregates!J2</f>
        <v>2162023</v>
      </c>
      <c r="K2" s="4" t="n">
        <f aca="false">IFERROR(I2/C2,0)</f>
        <v>0.0045662100456621</v>
      </c>
      <c r="L2" s="4" t="n">
        <f aca="false">IFERROR(I2/E2,0)</f>
        <v>0.0657894736842105</v>
      </c>
      <c r="M2" s="4" t="n">
        <f aca="false">IFERROR(I2/G2,0)</f>
        <v>0.0198412698412698</v>
      </c>
      <c r="N2" s="4" t="n">
        <f aca="false">IFERROR(J2/D2,0)</f>
        <v>0.0034081821012491</v>
      </c>
      <c r="O2" s="4" t="n">
        <f aca="false">IFERROR(J2/F2,0)</f>
        <v>0.0628959189797471</v>
      </c>
      <c r="P2" s="4" t="n">
        <f aca="false">IFERROR(J2/H2,0)</f>
        <v>0.0143218772561933</v>
      </c>
      <c r="Q2" s="4" t="n">
        <f aca="false">IFERROR(F2/D2,0)</f>
        <v>0.0541876509085836</v>
      </c>
      <c r="R2" s="4" t="n">
        <f aca="false">IFERROR(H2/D2,0)</f>
        <v>0.237970347062936</v>
      </c>
      <c r="S2" s="4" t="n">
        <f aca="false">IF(A2="COMBINED","",IF(A2="ARC",O2,N2))</f>
        <v>0.0628959189797471</v>
      </c>
      <c r="T2" s="2" t="s">
        <v>7</v>
      </c>
      <c r="U2" s="2" t="n">
        <f aca="false">Aggregates!K2</f>
        <v>110</v>
      </c>
    </row>
    <row r="3" customFormat="false" ht="15" hidden="false" customHeight="false" outlineLevel="0" collapsed="false">
      <c r="A3" s="2" t="s">
        <v>26</v>
      </c>
      <c r="B3" s="2" t="n">
        <v>2023</v>
      </c>
      <c r="C3" s="2" t="n">
        <f aca="false">Aggregates!C3</f>
        <v>1091</v>
      </c>
      <c r="D3" s="3" t="n">
        <f aca="false">Aggregates!D3</f>
        <v>1096077729</v>
      </c>
      <c r="E3" s="2" t="n">
        <f aca="false">Aggregates!E3</f>
        <v>76</v>
      </c>
      <c r="F3" s="3" t="n">
        <f aca="false">Aggregates!F3</f>
        <v>50915033</v>
      </c>
      <c r="G3" s="2" t="n">
        <f aca="false">Aggregates!G3</f>
        <v>252</v>
      </c>
      <c r="H3" s="3" t="n">
        <f aca="false">Aggregates!H3</f>
        <v>222345610</v>
      </c>
      <c r="I3" s="2" t="n">
        <f aca="false">Aggregates!I3</f>
        <v>5</v>
      </c>
      <c r="J3" s="3" t="n">
        <f aca="false">Aggregates!J3</f>
        <v>3157263</v>
      </c>
      <c r="K3" s="4" t="n">
        <f aca="false">IFERROR(I3/C3,0)</f>
        <v>0.00458295142071494</v>
      </c>
      <c r="L3" s="4" t="n">
        <f aca="false">IFERROR(I3/E3,0)</f>
        <v>0.0657894736842105</v>
      </c>
      <c r="M3" s="4" t="n">
        <f aca="false">IFERROR(I3/G3,0)</f>
        <v>0.0198412698412698</v>
      </c>
      <c r="N3" s="4" t="n">
        <f aca="false">IFERROR(J3/D3,0)</f>
        <v>0.0028805101284929</v>
      </c>
      <c r="O3" s="4" t="n">
        <f aca="false">IFERROR(J3/F3,0)</f>
        <v>0.0620104282363914</v>
      </c>
      <c r="P3" s="4" t="n">
        <f aca="false">IFERROR(J3/H3,0)</f>
        <v>0.0141997991325307</v>
      </c>
      <c r="Q3" s="4" t="n">
        <f aca="false">IFERROR(F3/D3,0)</f>
        <v>0.0464520276736688</v>
      </c>
      <c r="R3" s="4" t="n">
        <f aca="false">IFERROR(H3/D3,0)</f>
        <v>0.202855695465007</v>
      </c>
      <c r="S3" s="4" t="n">
        <f aca="false">IF(A3="COMBINED","",IF(A3="ARC",O3,N3))</f>
        <v>0.0620104282363914</v>
      </c>
      <c r="T3" s="2" t="s">
        <v>7</v>
      </c>
      <c r="U3" s="2" t="n">
        <f aca="false">Aggregates!K3</f>
        <v>101</v>
      </c>
    </row>
    <row r="4" customFormat="false" ht="15" hidden="false" customHeight="false" outlineLevel="0" collapsed="false">
      <c r="A4" s="2" t="s">
        <v>26</v>
      </c>
      <c r="B4" s="2" t="n">
        <v>2024</v>
      </c>
      <c r="C4" s="2" t="n">
        <f aca="false">Aggregates!C4</f>
        <v>997</v>
      </c>
      <c r="D4" s="3" t="n">
        <f aca="false">Aggregates!D4</f>
        <v>715930929</v>
      </c>
      <c r="E4" s="2" t="n">
        <f aca="false">Aggregates!E4</f>
        <v>90</v>
      </c>
      <c r="F4" s="3" t="n">
        <f aca="false">Aggregates!F4</f>
        <v>50293519</v>
      </c>
      <c r="G4" s="2" t="n">
        <f aca="false">Aggregates!G4</f>
        <v>221</v>
      </c>
      <c r="H4" s="3" t="n">
        <f aca="false">Aggregates!H4</f>
        <v>153265312</v>
      </c>
      <c r="I4" s="2" t="n">
        <f aca="false">Aggregates!I4</f>
        <v>7</v>
      </c>
      <c r="J4" s="3" t="n">
        <f aca="false">Aggregates!J4</f>
        <v>4890960</v>
      </c>
      <c r="K4" s="4" t="n">
        <f aca="false">IFERROR(I4/C4,0)</f>
        <v>0.00702106318956871</v>
      </c>
      <c r="L4" s="4" t="n">
        <f aca="false">IFERROR(I4/E4,0)</f>
        <v>0.0777777777777778</v>
      </c>
      <c r="M4" s="4" t="n">
        <f aca="false">IFERROR(I4/G4,0)</f>
        <v>0.0316742081447964</v>
      </c>
      <c r="N4" s="4" t="n">
        <f aca="false">IFERROR(J4/D4,0)</f>
        <v>0.00683160875146379</v>
      </c>
      <c r="O4" s="4" t="n">
        <f aca="false">IFERROR(J4/F4,0)</f>
        <v>0.0972483154340423</v>
      </c>
      <c r="P4" s="4" t="n">
        <f aca="false">IFERROR(J4/H4,0)</f>
        <v>0.0319117218121737</v>
      </c>
      <c r="Q4" s="4" t="n">
        <f aca="false">IFERROR(F4/D4,0)</f>
        <v>0.0702491217557106</v>
      </c>
      <c r="R4" s="4" t="n">
        <f aca="false">IFERROR(H4/D4,0)</f>
        <v>0.21407835000798</v>
      </c>
      <c r="S4" s="4" t="n">
        <f aca="false">IF(A4="COMBINED","",IF(A4="ARC",O4,N4))</f>
        <v>0.0972483154340423</v>
      </c>
      <c r="T4" s="2" t="s">
        <v>7</v>
      </c>
      <c r="U4" s="2" t="n">
        <f aca="false">Aggregates!K4</f>
        <v>118</v>
      </c>
    </row>
    <row r="5" customFormat="false" ht="15" hidden="false" customHeight="false" outlineLevel="0" collapsed="false">
      <c r="A5" s="2" t="s">
        <v>26</v>
      </c>
      <c r="B5" s="2" t="n">
        <v>2025</v>
      </c>
      <c r="C5" s="2" t="n">
        <f aca="false">Aggregates!C5</f>
        <v>1122</v>
      </c>
      <c r="D5" s="3" t="n">
        <f aca="false">Aggregates!D5</f>
        <v>883566939</v>
      </c>
      <c r="E5" s="2" t="n">
        <f aca="false">Aggregates!E5</f>
        <v>130</v>
      </c>
      <c r="F5" s="3" t="n">
        <f aca="false">Aggregates!F5</f>
        <v>101499058</v>
      </c>
      <c r="G5" s="2" t="n">
        <f aca="false">Aggregates!G5</f>
        <v>248</v>
      </c>
      <c r="H5" s="3" t="n">
        <f aca="false">Aggregates!H5</f>
        <v>195135313</v>
      </c>
      <c r="I5" s="2" t="n">
        <f aca="false">Aggregates!I5</f>
        <v>13</v>
      </c>
      <c r="J5" s="3" t="n">
        <f aca="false">Aggregates!J5</f>
        <v>12228209</v>
      </c>
      <c r="K5" s="4" t="n">
        <f aca="false">IFERROR(I5/C5,0)</f>
        <v>0.0115864527629234</v>
      </c>
      <c r="L5" s="4" t="n">
        <f aca="false">IFERROR(I5/E5,0)</f>
        <v>0.1</v>
      </c>
      <c r="M5" s="4" t="n">
        <f aca="false">IFERROR(I5/G5,0)</f>
        <v>0.0524193548387097</v>
      </c>
      <c r="N5" s="4" t="n">
        <f aca="false">IFERROR(J5/D5,0)</f>
        <v>0.013839595462727</v>
      </c>
      <c r="O5" s="4" t="n">
        <f aca="false">IFERROR(J5/F5,0)</f>
        <v>0.120476083630254</v>
      </c>
      <c r="P5" s="4" t="n">
        <f aca="false">IFERROR(J5/H5,0)</f>
        <v>0.0626652798614672</v>
      </c>
      <c r="Q5" s="4" t="n">
        <f aca="false">IFERROR(F5/D5,0)</f>
        <v>0.114874214414218</v>
      </c>
      <c r="R5" s="4" t="n">
        <f aca="false">IFERROR(H5/D5,0)</f>
        <v>0.220849495818449</v>
      </c>
      <c r="S5" s="4" t="n">
        <f aca="false">IF(A5="COMBINED","",IF(A5="ARC",O5,N5))</f>
        <v>0.120476083630254</v>
      </c>
      <c r="T5" s="2" t="s">
        <v>7</v>
      </c>
      <c r="U5" s="2" t="n">
        <f aca="false">Aggregates!K5</f>
        <v>131</v>
      </c>
    </row>
    <row r="6" customFormat="false" ht="15" hidden="false" customHeight="false" outlineLevel="0" collapsed="false">
      <c r="A6" s="2" t="s">
        <v>26</v>
      </c>
      <c r="B6" s="2" t="s">
        <v>27</v>
      </c>
      <c r="C6" s="2" t="n">
        <f aca="false">Aggregates!C6</f>
        <v>4305</v>
      </c>
      <c r="D6" s="3" t="n">
        <f aca="false">Aggregates!D6</f>
        <v>3329938121</v>
      </c>
      <c r="E6" s="2" t="n">
        <f aca="false">Aggregates!E6</f>
        <v>372</v>
      </c>
      <c r="F6" s="3" t="n">
        <f aca="false">Aggregates!F6</f>
        <v>237082225</v>
      </c>
      <c r="G6" s="2" t="n">
        <f aca="false">Aggregates!G6</f>
        <v>973</v>
      </c>
      <c r="H6" s="3" t="n">
        <f aca="false">Aggregates!H6</f>
        <v>721705705</v>
      </c>
      <c r="I6" s="2" t="n">
        <f aca="false">Aggregates!I6</f>
        <v>30</v>
      </c>
      <c r="J6" s="3" t="n">
        <f aca="false">Aggregates!J6</f>
        <v>22438455</v>
      </c>
      <c r="K6" s="4" t="n">
        <f aca="false">IFERROR(I6/C6,0)</f>
        <v>0.00696864111498258</v>
      </c>
      <c r="L6" s="4" t="n">
        <f aca="false">IFERROR(I6/E6,0)</f>
        <v>0.0806451612903226</v>
      </c>
      <c r="M6" s="4" t="n">
        <f aca="false">IFERROR(I6/G6,0)</f>
        <v>0.0308324768756423</v>
      </c>
      <c r="N6" s="4" t="n">
        <f aca="false">IFERROR(J6/D6,0)</f>
        <v>0.00673839998962551</v>
      </c>
      <c r="O6" s="4" t="n">
        <f aca="false">IFERROR(J6/F6,0)</f>
        <v>0.0946441893735391</v>
      </c>
      <c r="P6" s="4" t="n">
        <f aca="false">IFERROR(J6/H6,0)</f>
        <v>0.0310908654934354</v>
      </c>
      <c r="Q6" s="4" t="n">
        <f aca="false">IFERROR(F6/D6,0)</f>
        <v>0.0711971863695782</v>
      </c>
      <c r="R6" s="4" t="n">
        <f aca="false">IFERROR(H6/D6,0)</f>
        <v>0.216732467323827</v>
      </c>
      <c r="S6" s="4" t="n">
        <f aca="false">IF(A6="COMBINED","",IF(A6="ARC",O6,N6))</f>
        <v>0.0946441893735391</v>
      </c>
      <c r="T6" s="2" t="s">
        <v>7</v>
      </c>
      <c r="U6" s="2" t="n">
        <f aca="false">Aggregates!K6</f>
        <v>460</v>
      </c>
    </row>
    <row r="7" customFormat="false" ht="15" hidden="false" customHeight="false" outlineLevel="0" collapsed="false">
      <c r="A7" s="2" t="s">
        <v>28</v>
      </c>
      <c r="B7" s="2" t="n">
        <v>2022</v>
      </c>
      <c r="C7" s="2" t="n">
        <f aca="false">Aggregates!C7</f>
        <v>725</v>
      </c>
      <c r="D7" s="3" t="n">
        <f aca="false">Aggregates!D7</f>
        <v>900071183.59</v>
      </c>
      <c r="E7" s="2" t="n">
        <f aca="false">Aggregates!E7</f>
        <v>21</v>
      </c>
      <c r="F7" s="3" t="n">
        <f aca="false">Aggregates!F7</f>
        <v>25566052.67</v>
      </c>
      <c r="G7" s="2" t="n">
        <f aca="false">Aggregates!G7</f>
        <v>381</v>
      </c>
      <c r="H7" s="3" t="n">
        <f aca="false">Aggregates!H7</f>
        <v>477208693.32</v>
      </c>
      <c r="I7" s="2" t="n">
        <f aca="false">Aggregates!I7</f>
        <v>11</v>
      </c>
      <c r="J7" s="3" t="n">
        <f aca="false">Aggregates!J7</f>
        <v>15449869.89</v>
      </c>
      <c r="K7" s="4" t="n">
        <f aca="false">IFERROR(I7/C7,0)</f>
        <v>0.0151724137931034</v>
      </c>
      <c r="L7" s="4" t="n">
        <f aca="false">IFERROR(I7/E7,0)</f>
        <v>0.523809523809524</v>
      </c>
      <c r="M7" s="4" t="n">
        <f aca="false">IFERROR(I7/G7,0)</f>
        <v>0.0288713910761155</v>
      </c>
      <c r="N7" s="4" t="n">
        <f aca="false">IFERROR(J7/D7,0)</f>
        <v>0.0171651644577455</v>
      </c>
      <c r="O7" s="4" t="n">
        <f aca="false">IFERROR(J7/F7,0)</f>
        <v>0.604311900997112</v>
      </c>
      <c r="P7" s="4" t="n">
        <f aca="false">IFERROR(J7/H7,0)</f>
        <v>0.032375499663498</v>
      </c>
      <c r="Q7" s="4" t="n">
        <f aca="false">IFERROR(F7/D7,0)</f>
        <v>0.0284044785969349</v>
      </c>
      <c r="R7" s="4" t="n">
        <f aca="false">IFERROR(H7/D7,0)</f>
        <v>0.530189947217973</v>
      </c>
      <c r="S7" s="4" t="n">
        <f aca="false">IF(A7="COMBINED","",IF(A7="ARC",O7,N7))</f>
        <v>0.0171651644577455</v>
      </c>
      <c r="T7" s="2" t="s">
        <v>8</v>
      </c>
      <c r="U7" s="2" t="n">
        <f aca="false">Aggregates!K7</f>
        <v>21</v>
      </c>
    </row>
    <row r="8" customFormat="false" ht="15" hidden="false" customHeight="false" outlineLevel="0" collapsed="false">
      <c r="A8" s="2" t="s">
        <v>28</v>
      </c>
      <c r="B8" s="2" t="n">
        <v>2023</v>
      </c>
      <c r="C8" s="2" t="n">
        <f aca="false">Aggregates!C8</f>
        <v>686</v>
      </c>
      <c r="D8" s="3" t="n">
        <f aca="false">Aggregates!D8</f>
        <v>908263818.35</v>
      </c>
      <c r="E8" s="2" t="n">
        <f aca="false">Aggregates!E8</f>
        <v>20</v>
      </c>
      <c r="F8" s="3" t="n">
        <f aca="false">Aggregates!F8</f>
        <v>30311151.47</v>
      </c>
      <c r="G8" s="2" t="n">
        <f aca="false">Aggregates!G8</f>
        <v>398</v>
      </c>
      <c r="H8" s="3" t="n">
        <f aca="false">Aggregates!H8</f>
        <v>535172152.37</v>
      </c>
      <c r="I8" s="2" t="n">
        <f aca="false">Aggregates!I8</f>
        <v>12</v>
      </c>
      <c r="J8" s="3" t="n">
        <f aca="false">Aggregates!J8</f>
        <v>21710689.2</v>
      </c>
      <c r="K8" s="4" t="n">
        <f aca="false">IFERROR(I8/C8,0)</f>
        <v>0.0174927113702624</v>
      </c>
      <c r="L8" s="4" t="n">
        <f aca="false">IFERROR(I8/E8,0)</f>
        <v>0.6</v>
      </c>
      <c r="M8" s="4" t="n">
        <f aca="false">IFERROR(I8/G8,0)</f>
        <v>0.0301507537688442</v>
      </c>
      <c r="N8" s="4" t="n">
        <f aca="false">IFERROR(J8/D8,0)</f>
        <v>0.0239035055249044</v>
      </c>
      <c r="O8" s="4" t="n">
        <f aca="false">IFERROR(J8/F8,0)</f>
        <v>0.716260786776373</v>
      </c>
      <c r="P8" s="4" t="n">
        <f aca="false">IFERROR(J8/H8,0)</f>
        <v>0.0405676736053149</v>
      </c>
      <c r="Q8" s="4" t="n">
        <f aca="false">IFERROR(F8/D8,0)</f>
        <v>0.0333726290287164</v>
      </c>
      <c r="R8" s="4" t="n">
        <f aca="false">IFERROR(H8/D8,0)</f>
        <v>0.589225444807679</v>
      </c>
      <c r="S8" s="4" t="n">
        <f aca="false">IF(A8="COMBINED","",IF(A8="ARC",O8,N8))</f>
        <v>0.0239035055249044</v>
      </c>
      <c r="T8" s="2" t="s">
        <v>8</v>
      </c>
      <c r="U8" s="2" t="n">
        <f aca="false">Aggregates!K8</f>
        <v>19</v>
      </c>
    </row>
    <row r="9" customFormat="false" ht="15" hidden="false" customHeight="false" outlineLevel="0" collapsed="false">
      <c r="A9" s="2" t="s">
        <v>28</v>
      </c>
      <c r="B9" s="2" t="n">
        <v>2024</v>
      </c>
      <c r="C9" s="2" t="n">
        <f aca="false">Aggregates!C9</f>
        <v>740</v>
      </c>
      <c r="D9" s="3" t="n">
        <f aca="false">Aggregates!D9</f>
        <v>1005205527.93</v>
      </c>
      <c r="E9" s="2" t="n">
        <f aca="false">Aggregates!E9</f>
        <v>28</v>
      </c>
      <c r="F9" s="3" t="n">
        <f aca="false">Aggregates!F9</f>
        <v>33753024.35</v>
      </c>
      <c r="G9" s="2" t="n">
        <f aca="false">Aggregates!G9</f>
        <v>360</v>
      </c>
      <c r="H9" s="3" t="n">
        <f aca="false">Aggregates!H9</f>
        <v>504566490.1</v>
      </c>
      <c r="I9" s="2" t="n">
        <f aca="false">Aggregates!I9</f>
        <v>17</v>
      </c>
      <c r="J9" s="3" t="n">
        <f aca="false">Aggregates!J9</f>
        <v>23292562.3</v>
      </c>
      <c r="K9" s="4" t="n">
        <f aca="false">IFERROR(I9/C9,0)</f>
        <v>0.022972972972973</v>
      </c>
      <c r="L9" s="4" t="n">
        <f aca="false">IFERROR(I9/E9,0)</f>
        <v>0.607142857142857</v>
      </c>
      <c r="M9" s="4" t="n">
        <f aca="false">IFERROR(I9/G9,0)</f>
        <v>0.0472222222222222</v>
      </c>
      <c r="N9" s="4" t="n">
        <f aca="false">IFERROR(J9/D9,0)</f>
        <v>0.0231719401185208</v>
      </c>
      <c r="O9" s="4" t="n">
        <f aca="false">IFERROR(J9/F9,0)</f>
        <v>0.690088155018915</v>
      </c>
      <c r="P9" s="4" t="n">
        <f aca="false">IFERROR(J9/H9,0)</f>
        <v>0.0461635141394024</v>
      </c>
      <c r="Q9" s="4" t="n">
        <f aca="false">IFERROR(F9/D9,0)</f>
        <v>0.0335782319258699</v>
      </c>
      <c r="R9" s="4" t="n">
        <f aca="false">IFERROR(H9/D9,0)</f>
        <v>0.501953556840305</v>
      </c>
      <c r="S9" s="4" t="n">
        <f aca="false">IF(A9="COMBINED","",IF(A9="ARC",O9,N9))</f>
        <v>0.0231719401185208</v>
      </c>
      <c r="T9" s="2" t="s">
        <v>8</v>
      </c>
      <c r="U9" s="2" t="n">
        <f aca="false">Aggregates!K9</f>
        <v>39</v>
      </c>
    </row>
    <row r="10" customFormat="false" ht="15" hidden="false" customHeight="false" outlineLevel="0" collapsed="false">
      <c r="A10" s="2" t="s">
        <v>28</v>
      </c>
      <c r="B10" s="2" t="n">
        <v>2025</v>
      </c>
      <c r="C10" s="2" t="n">
        <f aca="false">Aggregates!C10</f>
        <v>715</v>
      </c>
      <c r="D10" s="3" t="n">
        <f aca="false">Aggregates!D10</f>
        <v>1078625881.62</v>
      </c>
      <c r="E10" s="2" t="n">
        <f aca="false">Aggregates!E10</f>
        <v>36</v>
      </c>
      <c r="F10" s="3" t="n">
        <f aca="false">Aggregates!F10</f>
        <v>62011539.92</v>
      </c>
      <c r="G10" s="2" t="n">
        <f aca="false">Aggregates!G10</f>
        <v>376</v>
      </c>
      <c r="H10" s="3" t="n">
        <f aca="false">Aggregates!H10</f>
        <v>600262665.18</v>
      </c>
      <c r="I10" s="2" t="n">
        <f aca="false">Aggregates!I10</f>
        <v>17</v>
      </c>
      <c r="J10" s="3" t="n">
        <f aca="false">Aggregates!J10</f>
        <v>21366604.56</v>
      </c>
      <c r="K10" s="4" t="n">
        <f aca="false">IFERROR(I10/C10,0)</f>
        <v>0.0237762237762238</v>
      </c>
      <c r="L10" s="4" t="n">
        <f aca="false">IFERROR(I10/E10,0)</f>
        <v>0.472222222222222</v>
      </c>
      <c r="M10" s="4" t="n">
        <f aca="false">IFERROR(I10/G10,0)</f>
        <v>0.0452127659574468</v>
      </c>
      <c r="N10" s="4" t="n">
        <f aca="false">IFERROR(J10/D10,0)</f>
        <v>0.0198090968556301</v>
      </c>
      <c r="O10" s="4" t="n">
        <f aca="false">IFERROR(J10/F10,0)</f>
        <v>0.344558522293829</v>
      </c>
      <c r="P10" s="4" t="n">
        <f aca="false">IFERROR(J10/H10,0)</f>
        <v>0.0355954248022286</v>
      </c>
      <c r="Q10" s="4" t="n">
        <f aca="false">IFERROR(F10/D10,0)</f>
        <v>0.0574912404538858</v>
      </c>
      <c r="R10" s="4" t="n">
        <f aca="false">IFERROR(H10/D10,0)</f>
        <v>0.556506825404986</v>
      </c>
      <c r="S10" s="4" t="n">
        <f aca="false">IF(A10="COMBINED","",IF(A10="ARC",O10,N10))</f>
        <v>0.0198090968556301</v>
      </c>
      <c r="T10" s="2" t="s">
        <v>8</v>
      </c>
      <c r="U10" s="2" t="n">
        <f aca="false">Aggregates!K10</f>
        <v>17</v>
      </c>
    </row>
    <row r="11" customFormat="false" ht="15" hidden="false" customHeight="false" outlineLevel="0" collapsed="false">
      <c r="A11" s="2" t="s">
        <v>28</v>
      </c>
      <c r="B11" s="2" t="s">
        <v>27</v>
      </c>
      <c r="C11" s="2" t="n">
        <f aca="false">Aggregates!C11</f>
        <v>2866</v>
      </c>
      <c r="D11" s="3" t="n">
        <f aca="false">Aggregates!D11</f>
        <v>3892166411.49</v>
      </c>
      <c r="E11" s="2" t="n">
        <f aca="false">Aggregates!E11</f>
        <v>105</v>
      </c>
      <c r="F11" s="3" t="n">
        <f aca="false">Aggregates!F11</f>
        <v>151641768.41</v>
      </c>
      <c r="G11" s="2" t="n">
        <f aca="false">Aggregates!G11</f>
        <v>1515</v>
      </c>
      <c r="H11" s="3" t="n">
        <f aca="false">Aggregates!H11</f>
        <v>2117210000.97</v>
      </c>
      <c r="I11" s="2" t="n">
        <f aca="false">Aggregates!I11</f>
        <v>57</v>
      </c>
      <c r="J11" s="3" t="n">
        <f aca="false">Aggregates!J11</f>
        <v>81819725.95</v>
      </c>
      <c r="K11" s="4" t="n">
        <f aca="false">IFERROR(I11/C11,0)</f>
        <v>0.0198883461270063</v>
      </c>
      <c r="L11" s="4" t="n">
        <f aca="false">IFERROR(I11/E11,0)</f>
        <v>0.542857142857143</v>
      </c>
      <c r="M11" s="4" t="n">
        <f aca="false">IFERROR(I11/G11,0)</f>
        <v>0.0376237623762376</v>
      </c>
      <c r="N11" s="4" t="n">
        <f aca="false">IFERROR(J11/D11,0)</f>
        <v>0.0210216412403286</v>
      </c>
      <c r="O11" s="4" t="n">
        <f aca="false">IFERROR(J11/F11,0)</f>
        <v>0.53955929693975</v>
      </c>
      <c r="P11" s="4" t="n">
        <f aca="false">IFERROR(J11/H11,0)</f>
        <v>0.0386450687048117</v>
      </c>
      <c r="Q11" s="4" t="n">
        <f aca="false">IFERROR(F11/D11,0)</f>
        <v>0.0389607617912587</v>
      </c>
      <c r="R11" s="4" t="n">
        <f aca="false">IFERROR(H11/D11,0)</f>
        <v>0.543966978061323</v>
      </c>
      <c r="S11" s="4" t="n">
        <f aca="false">IF(A11="COMBINED","",IF(A11="ARC",O11,N11))</f>
        <v>0.0210216412403286</v>
      </c>
      <c r="T11" s="2" t="s">
        <v>8</v>
      </c>
      <c r="U11" s="2" t="n">
        <f aca="false">Aggregates!K11</f>
        <v>96</v>
      </c>
    </row>
    <row r="12" customFormat="false" ht="15" hidden="false" customHeight="false" outlineLevel="0" collapsed="false">
      <c r="A12" s="2" t="s">
        <v>29</v>
      </c>
      <c r="B12" s="2" t="n">
        <v>2022</v>
      </c>
      <c r="C12" s="2" t="n">
        <f aca="false">Aggregates!C12</f>
        <v>237</v>
      </c>
      <c r="D12" s="3" t="n">
        <f aca="false">Aggregates!D12</f>
        <v>534485030.22</v>
      </c>
      <c r="E12" s="2" t="n">
        <f aca="false">Aggregates!E12</f>
        <v>9</v>
      </c>
      <c r="F12" s="3" t="n">
        <f aca="false">Aggregates!F12</f>
        <v>12608735.6</v>
      </c>
      <c r="G12" s="2" t="n">
        <f aca="false">Aggregates!G12</f>
        <v>89</v>
      </c>
      <c r="H12" s="3" t="n">
        <f aca="false">Aggregates!H12</f>
        <v>199452270.39</v>
      </c>
      <c r="I12" s="2" t="n">
        <f aca="false">Aggregates!I12</f>
        <v>2</v>
      </c>
      <c r="J12" s="3" t="n">
        <f aca="false">Aggregates!J12</f>
        <v>1404055.7</v>
      </c>
      <c r="K12" s="4" t="n">
        <f aca="false">IFERROR(I12/C12,0)</f>
        <v>0.00843881856540084</v>
      </c>
      <c r="L12" s="4" t="n">
        <f aca="false">IFERROR(I12/E12,0)</f>
        <v>0.222222222222222</v>
      </c>
      <c r="M12" s="4" t="n">
        <f aca="false">IFERROR(I12/G12,0)</f>
        <v>0.0224719101123596</v>
      </c>
      <c r="N12" s="4" t="n">
        <f aca="false">IFERROR(J12/D12,0)</f>
        <v>0.00262693175788679</v>
      </c>
      <c r="O12" s="4" t="n">
        <f aca="false">IFERROR(J12/F12,0)</f>
        <v>0.11135578891828</v>
      </c>
      <c r="P12" s="4" t="n">
        <f aca="false">IFERROR(J12/H12,0)</f>
        <v>0.00703955737006439</v>
      </c>
      <c r="Q12" s="4" t="n">
        <f aca="false">IFERROR(F12/D12,0)</f>
        <v>0.0235904373127347</v>
      </c>
      <c r="R12" s="4" t="n">
        <f aca="false">IFERROR(H12/D12,0)</f>
        <v>0.373167177961754</v>
      </c>
      <c r="S12" s="4" t="n">
        <f aca="false">IF(A12="COMBINED","",IF(A12="ARC",O12,N12))</f>
        <v>0.00262693175788679</v>
      </c>
      <c r="T12" s="2" t="s">
        <v>8</v>
      </c>
      <c r="U12" s="2" t="n">
        <f aca="false">Aggregates!K12</f>
        <v>6</v>
      </c>
    </row>
    <row r="13" customFormat="false" ht="15" hidden="false" customHeight="false" outlineLevel="0" collapsed="false">
      <c r="A13" s="2" t="s">
        <v>29</v>
      </c>
      <c r="B13" s="2" t="n">
        <v>2023</v>
      </c>
      <c r="C13" s="2" t="n">
        <f aca="false">Aggregates!C13</f>
        <v>302</v>
      </c>
      <c r="D13" s="3" t="n">
        <f aca="false">Aggregates!D13</f>
        <v>697791254.42</v>
      </c>
      <c r="E13" s="2" t="n">
        <f aca="false">Aggregates!E13</f>
        <v>15</v>
      </c>
      <c r="F13" s="3" t="n">
        <f aca="false">Aggregates!F13</f>
        <v>38296762.75</v>
      </c>
      <c r="G13" s="2" t="n">
        <f aca="false">Aggregates!G13</f>
        <v>105</v>
      </c>
      <c r="H13" s="3" t="n">
        <f aca="false">Aggregates!H13</f>
        <v>233686419</v>
      </c>
      <c r="I13" s="2" t="n">
        <f aca="false">Aggregates!I13</f>
        <v>5</v>
      </c>
      <c r="J13" s="3" t="n">
        <f aca="false">Aggregates!J13</f>
        <v>11531602.96</v>
      </c>
      <c r="K13" s="4" t="n">
        <f aca="false">IFERROR(I13/C13,0)</f>
        <v>0.0165562913907285</v>
      </c>
      <c r="L13" s="4" t="n">
        <f aca="false">IFERROR(I13/E13,0)</f>
        <v>0.333333333333333</v>
      </c>
      <c r="M13" s="4" t="n">
        <f aca="false">IFERROR(I13/G13,0)</f>
        <v>0.0476190476190476</v>
      </c>
      <c r="N13" s="4" t="n">
        <f aca="false">IFERROR(J13/D13,0)</f>
        <v>0.0165258634110928</v>
      </c>
      <c r="O13" s="4" t="n">
        <f aca="false">IFERROR(J13/F13,0)</f>
        <v>0.301111690178043</v>
      </c>
      <c r="P13" s="4" t="n">
        <f aca="false">IFERROR(J13/H13,0)</f>
        <v>0.0493464832459947</v>
      </c>
      <c r="Q13" s="4" t="n">
        <f aca="false">IFERROR(F13/D13,0)</f>
        <v>0.054882835672442</v>
      </c>
      <c r="R13" s="4" t="n">
        <f aca="false">IFERROR(H13/D13,0)</f>
        <v>0.33489445091174</v>
      </c>
      <c r="S13" s="4" t="n">
        <f aca="false">IF(A13="COMBINED","",IF(A13="ARC",O13,N13))</f>
        <v>0.0165258634110928</v>
      </c>
      <c r="T13" s="2" t="s">
        <v>8</v>
      </c>
      <c r="U13" s="2" t="n">
        <f aca="false">Aggregates!K13</f>
        <v>5</v>
      </c>
    </row>
    <row r="14" customFormat="false" ht="15" hidden="false" customHeight="false" outlineLevel="0" collapsed="false">
      <c r="A14" s="2" t="s">
        <v>29</v>
      </c>
      <c r="B14" s="2" t="n">
        <v>2024</v>
      </c>
      <c r="C14" s="2" t="n">
        <f aca="false">Aggregates!C14</f>
        <v>311</v>
      </c>
      <c r="D14" s="3" t="n">
        <f aca="false">Aggregates!D14</f>
        <v>734613711.13</v>
      </c>
      <c r="E14" s="2" t="n">
        <f aca="false">Aggregates!E14</f>
        <v>18</v>
      </c>
      <c r="F14" s="3" t="n">
        <f aca="false">Aggregates!F14</f>
        <v>45170751.43</v>
      </c>
      <c r="G14" s="2" t="n">
        <f aca="false">Aggregates!G14</f>
        <v>71</v>
      </c>
      <c r="H14" s="3" t="n">
        <f aca="false">Aggregates!H14</f>
        <v>173675695.06</v>
      </c>
      <c r="I14" s="2" t="n">
        <f aca="false">Aggregates!I14</f>
        <v>3</v>
      </c>
      <c r="J14" s="3" t="n">
        <f aca="false">Aggregates!J14</f>
        <v>11999010.36</v>
      </c>
      <c r="K14" s="4" t="n">
        <f aca="false">IFERROR(I14/C14,0)</f>
        <v>0.00964630225080386</v>
      </c>
      <c r="L14" s="4" t="n">
        <f aca="false">IFERROR(I14/E14,0)</f>
        <v>0.166666666666667</v>
      </c>
      <c r="M14" s="4" t="n">
        <f aca="false">IFERROR(I14/G14,0)</f>
        <v>0.0422535211267606</v>
      </c>
      <c r="N14" s="4" t="n">
        <f aca="false">IFERROR(J14/D14,0)</f>
        <v>0.0163337685891308</v>
      </c>
      <c r="O14" s="4" t="n">
        <f aca="false">IFERROR(J14/F14,0)</f>
        <v>0.265636722439621</v>
      </c>
      <c r="P14" s="4" t="n">
        <f aca="false">IFERROR(J14/H14,0)</f>
        <v>0.0690885984700086</v>
      </c>
      <c r="Q14" s="4" t="n">
        <f aca="false">IFERROR(F14/D14,0)</f>
        <v>0.0614891210790462</v>
      </c>
      <c r="R14" s="4" t="n">
        <f aca="false">IFERROR(H14/D14,0)</f>
        <v>0.236417715091171</v>
      </c>
      <c r="S14" s="4" t="n">
        <f aca="false">IF(A14="COMBINED","",IF(A14="ARC",O14,N14))</f>
        <v>0.0163337685891308</v>
      </c>
      <c r="T14" s="2" t="s">
        <v>8</v>
      </c>
      <c r="U14" s="2" t="n">
        <f aca="false">Aggregates!K14</f>
        <v>13</v>
      </c>
    </row>
    <row r="15" customFormat="false" ht="15" hidden="false" customHeight="false" outlineLevel="0" collapsed="false">
      <c r="A15" s="2" t="s">
        <v>29</v>
      </c>
      <c r="B15" s="2" t="n">
        <v>2025</v>
      </c>
      <c r="C15" s="2" t="n">
        <f aca="false">Aggregates!C15</f>
        <v>271</v>
      </c>
      <c r="D15" s="3" t="n">
        <f aca="false">Aggregates!D15</f>
        <v>688565196.33</v>
      </c>
      <c r="E15" s="2" t="n">
        <f aca="false">Aggregates!E15</f>
        <v>15</v>
      </c>
      <c r="F15" s="3" t="n">
        <f aca="false">Aggregates!F15</f>
        <v>34194337.36</v>
      </c>
      <c r="G15" s="2" t="n">
        <f aca="false">Aggregates!G15</f>
        <v>98</v>
      </c>
      <c r="H15" s="3" t="n">
        <f aca="false">Aggregates!H15</f>
        <v>219593396.48</v>
      </c>
      <c r="I15" s="2" t="n">
        <f aca="false">Aggregates!I15</f>
        <v>7</v>
      </c>
      <c r="J15" s="3" t="n">
        <f aca="false">Aggregates!J15</f>
        <v>17583889.42</v>
      </c>
      <c r="K15" s="4" t="n">
        <f aca="false">IFERROR(I15/C15,0)</f>
        <v>0.025830258302583</v>
      </c>
      <c r="L15" s="4" t="n">
        <f aca="false">IFERROR(I15/E15,0)</f>
        <v>0.466666666666667</v>
      </c>
      <c r="M15" s="4" t="n">
        <f aca="false">IFERROR(I15/G15,0)</f>
        <v>0.0714285714285714</v>
      </c>
      <c r="N15" s="4" t="n">
        <f aca="false">IFERROR(J15/D15,0)</f>
        <v>0.0255370000019182</v>
      </c>
      <c r="O15" s="4" t="n">
        <f aca="false">IFERROR(J15/F15,0)</f>
        <v>0.514233957361881</v>
      </c>
      <c r="P15" s="4" t="n">
        <f aca="false">IFERROR(J15/H15,0)</f>
        <v>0.0800747640952013</v>
      </c>
      <c r="Q15" s="4" t="n">
        <f aca="false">IFERROR(F15/D15,0)</f>
        <v>0.0496602755153081</v>
      </c>
      <c r="R15" s="4" t="n">
        <f aca="false">IFERROR(H15/D15,0)</f>
        <v>0.318914458137611</v>
      </c>
      <c r="S15" s="4" t="n">
        <f aca="false">IF(A15="COMBINED","",IF(A15="ARC",O15,N15))</f>
        <v>0.0255370000019182</v>
      </c>
      <c r="T15" s="2" t="s">
        <v>8</v>
      </c>
      <c r="U15" s="2" t="n">
        <f aca="false">Aggregates!K15</f>
        <v>4</v>
      </c>
    </row>
    <row r="16" customFormat="false" ht="15" hidden="false" customHeight="false" outlineLevel="0" collapsed="false">
      <c r="A16" s="2" t="s">
        <v>29</v>
      </c>
      <c r="B16" s="2" t="s">
        <v>27</v>
      </c>
      <c r="C16" s="2" t="n">
        <f aca="false">Aggregates!C16</f>
        <v>1121</v>
      </c>
      <c r="D16" s="3" t="n">
        <f aca="false">Aggregates!D16</f>
        <v>2655455192.1</v>
      </c>
      <c r="E16" s="2" t="n">
        <f aca="false">Aggregates!E16</f>
        <v>57</v>
      </c>
      <c r="F16" s="3" t="n">
        <f aca="false">Aggregates!F16</f>
        <v>130270587.14</v>
      </c>
      <c r="G16" s="2" t="n">
        <f aca="false">Aggregates!G16</f>
        <v>363</v>
      </c>
      <c r="H16" s="3" t="n">
        <f aca="false">Aggregates!H16</f>
        <v>826407780.93</v>
      </c>
      <c r="I16" s="2" t="n">
        <f aca="false">Aggregates!I16</f>
        <v>17</v>
      </c>
      <c r="J16" s="3" t="n">
        <f aca="false">Aggregates!J16</f>
        <v>42518558.44</v>
      </c>
      <c r="K16" s="4" t="n">
        <f aca="false">IFERROR(I16/C16,0)</f>
        <v>0.0151650312221231</v>
      </c>
      <c r="L16" s="4" t="n">
        <f aca="false">IFERROR(I16/E16,0)</f>
        <v>0.298245614035088</v>
      </c>
      <c r="M16" s="4" t="n">
        <f aca="false">IFERROR(I16/G16,0)</f>
        <v>0.046831955922865</v>
      </c>
      <c r="N16" s="4" t="n">
        <f aca="false">IFERROR(J16/D16,0)</f>
        <v>0.0160117777797543</v>
      </c>
      <c r="O16" s="4" t="n">
        <f aca="false">IFERROR(J16/F16,0)</f>
        <v>0.326386480428663</v>
      </c>
      <c r="P16" s="4" t="n">
        <f aca="false">IFERROR(J16/H16,0)</f>
        <v>0.0514498525076224</v>
      </c>
      <c r="Q16" s="4" t="n">
        <f aca="false">IFERROR(F16/D16,0)</f>
        <v>0.0490577237106301</v>
      </c>
      <c r="R16" s="4" t="n">
        <f aca="false">IFERROR(H16/D16,0)</f>
        <v>0.311211344626929</v>
      </c>
      <c r="S16" s="4" t="n">
        <f aca="false">IF(A16="COMBINED","",IF(A16="ARC",O16,N16))</f>
        <v>0.0160117777797543</v>
      </c>
      <c r="T16" s="2" t="s">
        <v>8</v>
      </c>
      <c r="U16" s="2" t="n">
        <f aca="false">Aggregates!K16</f>
        <v>28</v>
      </c>
    </row>
    <row r="17" customFormat="false" ht="23.85" hidden="false" customHeight="false" outlineLevel="0" collapsed="false">
      <c r="A17" s="2" t="s">
        <v>30</v>
      </c>
      <c r="B17" s="2" t="n">
        <v>2022</v>
      </c>
      <c r="C17" s="2" t="n">
        <f aca="false">Aggregates!C17</f>
        <v>2057</v>
      </c>
      <c r="D17" s="3" t="n">
        <f aca="false">Aggregates!D17</f>
        <v>2068918737.81</v>
      </c>
      <c r="E17" s="2" t="n">
        <f aca="false">Aggregates!E17</f>
        <v>106</v>
      </c>
      <c r="F17" s="3" t="n">
        <f aca="false">Aggregates!F17</f>
        <v>72549403.27</v>
      </c>
      <c r="G17" s="2" t="n">
        <f aca="false">Aggregates!G17</f>
        <v>722</v>
      </c>
      <c r="H17" s="3" t="n">
        <f aca="false">Aggregates!H17</f>
        <v>827620433.71</v>
      </c>
      <c r="I17" s="2" t="n">
        <f aca="false">Aggregates!I17</f>
        <v>18</v>
      </c>
      <c r="J17" s="3" t="n">
        <f aca="false">Aggregates!J17</f>
        <v>19015948.59</v>
      </c>
      <c r="K17" s="4" t="n">
        <f aca="false">IFERROR(I17/C17,0)</f>
        <v>0.00875060768108897</v>
      </c>
      <c r="L17" s="4" t="n">
        <f aca="false">IFERROR(I17/E17,0)</f>
        <v>0.169811320754717</v>
      </c>
      <c r="M17" s="4" t="n">
        <f aca="false">IFERROR(I17/G17,0)</f>
        <v>0.0249307479224377</v>
      </c>
      <c r="N17" s="4" t="n">
        <f aca="false">IFERROR(J17/D17,0)</f>
        <v>0.0091912496331919</v>
      </c>
      <c r="O17" s="4" t="n">
        <f aca="false">IFERROR(J17/F17,0)</f>
        <v>0.262110337685759</v>
      </c>
      <c r="P17" s="4" t="n">
        <f aca="false">IFERROR(J17/H17,0)</f>
        <v>0.0229766542915774</v>
      </c>
      <c r="Q17" s="4" t="n">
        <f aca="false">IFERROR(F17/D17,0)</f>
        <v>0.0350663377657816</v>
      </c>
      <c r="R17" s="4" t="n">
        <f aca="false">IFERROR(H17/D17,0)</f>
        <v>0.40002558756177</v>
      </c>
      <c r="S17" s="4" t="str">
        <f aca="false">IF(A17="COMBINED","",IF(A17="ARC",O17,N17))</f>
        <v/>
      </c>
      <c r="T17" s="2" t="s">
        <v>31</v>
      </c>
      <c r="U17" s="2" t="n">
        <f aca="false">Aggregates!K17</f>
        <v>137</v>
      </c>
    </row>
    <row r="18" customFormat="false" ht="23.85" hidden="false" customHeight="false" outlineLevel="0" collapsed="false">
      <c r="A18" s="2" t="s">
        <v>30</v>
      </c>
      <c r="B18" s="2" t="n">
        <v>2023</v>
      </c>
      <c r="C18" s="2" t="n">
        <f aca="false">Aggregates!C18</f>
        <v>2079</v>
      </c>
      <c r="D18" s="3" t="n">
        <f aca="false">Aggregates!D18</f>
        <v>2702132801.77</v>
      </c>
      <c r="E18" s="2" t="n">
        <f aca="false">Aggregates!E18</f>
        <v>111</v>
      </c>
      <c r="F18" s="3" t="n">
        <f aca="false">Aggregates!F18</f>
        <v>119522947.22</v>
      </c>
      <c r="G18" s="2" t="n">
        <f aca="false">Aggregates!G18</f>
        <v>755</v>
      </c>
      <c r="H18" s="3" t="n">
        <f aca="false">Aggregates!H18</f>
        <v>991204181.37</v>
      </c>
      <c r="I18" s="2" t="n">
        <f aca="false">Aggregates!I18</f>
        <v>22</v>
      </c>
      <c r="J18" s="3" t="n">
        <f aca="false">Aggregates!J18</f>
        <v>36399555.16</v>
      </c>
      <c r="K18" s="4" t="n">
        <f aca="false">IFERROR(I18/C18,0)</f>
        <v>0.0105820105820106</v>
      </c>
      <c r="L18" s="4" t="n">
        <f aca="false">IFERROR(I18/E18,0)</f>
        <v>0.198198198198198</v>
      </c>
      <c r="M18" s="4" t="n">
        <f aca="false">IFERROR(I18/G18,0)</f>
        <v>0.0291390728476821</v>
      </c>
      <c r="N18" s="4" t="n">
        <f aca="false">IFERROR(J18/D18,0)</f>
        <v>0.013470675880977</v>
      </c>
      <c r="O18" s="4" t="n">
        <f aca="false">IFERROR(J18/F18,0)</f>
        <v>0.304540308004631</v>
      </c>
      <c r="P18" s="4" t="n">
        <f aca="false">IFERROR(J18/H18,0)</f>
        <v>0.0367225601386085</v>
      </c>
      <c r="Q18" s="4" t="n">
        <f aca="false">IFERROR(F18/D18,0)</f>
        <v>0.0442328175512721</v>
      </c>
      <c r="R18" s="4" t="n">
        <f aca="false">IFERROR(H18/D18,0)</f>
        <v>0.366822896609938</v>
      </c>
      <c r="S18" s="4" t="str">
        <f aca="false">IF(A18="COMBINED","",IF(A18="ARC",O18,N18))</f>
        <v/>
      </c>
      <c r="T18" s="2" t="s">
        <v>31</v>
      </c>
      <c r="U18" s="2" t="n">
        <f aca="false">Aggregates!K18</f>
        <v>125</v>
      </c>
    </row>
    <row r="19" customFormat="false" ht="23.85" hidden="false" customHeight="false" outlineLevel="0" collapsed="false">
      <c r="A19" s="2" t="s">
        <v>30</v>
      </c>
      <c r="B19" s="2" t="n">
        <v>2024</v>
      </c>
      <c r="C19" s="2" t="n">
        <f aca="false">Aggregates!C19</f>
        <v>2048</v>
      </c>
      <c r="D19" s="3" t="n">
        <f aca="false">Aggregates!D19</f>
        <v>2455750168.06</v>
      </c>
      <c r="E19" s="2" t="n">
        <f aca="false">Aggregates!E19</f>
        <v>136</v>
      </c>
      <c r="F19" s="3" t="n">
        <f aca="false">Aggregates!F19</f>
        <v>129217294.78</v>
      </c>
      <c r="G19" s="2" t="n">
        <f aca="false">Aggregates!G19</f>
        <v>652</v>
      </c>
      <c r="H19" s="3" t="n">
        <f aca="false">Aggregates!H19</f>
        <v>831507497.16</v>
      </c>
      <c r="I19" s="2" t="n">
        <f aca="false">Aggregates!I19</f>
        <v>27</v>
      </c>
      <c r="J19" s="3" t="n">
        <f aca="false">Aggregates!J19</f>
        <v>40182532.66</v>
      </c>
      <c r="K19" s="4" t="n">
        <f aca="false">IFERROR(I19/C19,0)</f>
        <v>0.01318359375</v>
      </c>
      <c r="L19" s="4" t="n">
        <f aca="false">IFERROR(I19/E19,0)</f>
        <v>0.198529411764706</v>
      </c>
      <c r="M19" s="4" t="n">
        <f aca="false">IFERROR(I19/G19,0)</f>
        <v>0.0414110429447853</v>
      </c>
      <c r="N19" s="4" t="n">
        <f aca="false">IFERROR(J19/D19,0)</f>
        <v>0.016362630524319</v>
      </c>
      <c r="O19" s="4" t="n">
        <f aca="false">IFERROR(J19/F19,0)</f>
        <v>0.310968688273602</v>
      </c>
      <c r="P19" s="4" t="n">
        <f aca="false">IFERROR(J19/H19,0)</f>
        <v>0.0483249192547785</v>
      </c>
      <c r="Q19" s="4" t="n">
        <f aca="false">IFERROR(F19/D19,0)</f>
        <v>0.0526182575331266</v>
      </c>
      <c r="R19" s="4" t="n">
        <f aca="false">IFERROR(H19/D19,0)</f>
        <v>0.338596127560026</v>
      </c>
      <c r="S19" s="4" t="str">
        <f aca="false">IF(A19="COMBINED","",IF(A19="ARC",O19,N19))</f>
        <v/>
      </c>
      <c r="T19" s="2" t="s">
        <v>31</v>
      </c>
      <c r="U19" s="2" t="n">
        <f aca="false">Aggregates!K19</f>
        <v>170</v>
      </c>
    </row>
    <row r="20" customFormat="false" ht="23.85" hidden="false" customHeight="false" outlineLevel="0" collapsed="false">
      <c r="A20" s="2" t="s">
        <v>30</v>
      </c>
      <c r="B20" s="2" t="n">
        <v>2025</v>
      </c>
      <c r="C20" s="2" t="n">
        <f aca="false">Aggregates!C20</f>
        <v>2108</v>
      </c>
      <c r="D20" s="3" t="n">
        <f aca="false">Aggregates!D20</f>
        <v>2650758016.95</v>
      </c>
      <c r="E20" s="2" t="n">
        <f aca="false">Aggregates!E20</f>
        <v>181</v>
      </c>
      <c r="F20" s="3" t="n">
        <f aca="false">Aggregates!F20</f>
        <v>197704935.28</v>
      </c>
      <c r="G20" s="2" t="n">
        <f aca="false">Aggregates!G20</f>
        <v>722</v>
      </c>
      <c r="H20" s="3" t="n">
        <f aca="false">Aggregates!H20</f>
        <v>1014991374.66</v>
      </c>
      <c r="I20" s="2" t="n">
        <f aca="false">Aggregates!I20</f>
        <v>37</v>
      </c>
      <c r="J20" s="3" t="n">
        <f aca="false">Aggregates!J20</f>
        <v>51178702.98</v>
      </c>
      <c r="K20" s="4" t="n">
        <f aca="false">IFERROR(I20/C20,0)</f>
        <v>0.0175521821631879</v>
      </c>
      <c r="L20" s="4" t="n">
        <f aca="false">IFERROR(I20/E20,0)</f>
        <v>0.204419889502762</v>
      </c>
      <c r="M20" s="4" t="n">
        <f aca="false">IFERROR(I20/G20,0)</f>
        <v>0.0512465373961219</v>
      </c>
      <c r="N20" s="4" t="n">
        <f aca="false">IFERROR(J20/D20,0)</f>
        <v>0.0193071953957106</v>
      </c>
      <c r="O20" s="4" t="n">
        <f aca="false">IFERROR(J20/F20,0)</f>
        <v>0.258864063800522</v>
      </c>
      <c r="P20" s="4" t="n">
        <f aca="false">IFERROR(J20/H20,0)</f>
        <v>0.0504227959544422</v>
      </c>
      <c r="Q20" s="4" t="n">
        <f aca="false">IFERROR(F20/D20,0)</f>
        <v>0.0745843015529128</v>
      </c>
      <c r="R20" s="4" t="n">
        <f aca="false">IFERROR(H20/D20,0)</f>
        <v>0.382906085040483</v>
      </c>
      <c r="S20" s="4" t="str">
        <f aca="false">IF(A20="COMBINED","",IF(A20="ARC",O20,N20))</f>
        <v/>
      </c>
      <c r="T20" s="2" t="s">
        <v>31</v>
      </c>
      <c r="U20" s="2" t="n">
        <f aca="false">Aggregates!K20</f>
        <v>152</v>
      </c>
    </row>
    <row r="21" customFormat="false" ht="23.85" hidden="false" customHeight="false" outlineLevel="0" collapsed="false">
      <c r="A21" s="2" t="s">
        <v>30</v>
      </c>
      <c r="B21" s="2" t="s">
        <v>27</v>
      </c>
      <c r="C21" s="2" t="n">
        <f aca="false">Aggregates!C21</f>
        <v>8292</v>
      </c>
      <c r="D21" s="3" t="n">
        <f aca="false">Aggregates!D21</f>
        <v>9877559724.59</v>
      </c>
      <c r="E21" s="2" t="n">
        <f aca="false">Aggregates!E21</f>
        <v>534</v>
      </c>
      <c r="F21" s="3" t="n">
        <f aca="false">Aggregates!F21</f>
        <v>518994580.55</v>
      </c>
      <c r="G21" s="2" t="n">
        <f aca="false">Aggregates!G21</f>
        <v>2851</v>
      </c>
      <c r="H21" s="3" t="n">
        <f aca="false">Aggregates!H21</f>
        <v>3665323486.9</v>
      </c>
      <c r="I21" s="2" t="n">
        <f aca="false">Aggregates!I21</f>
        <v>104</v>
      </c>
      <c r="J21" s="3" t="n">
        <f aca="false">Aggregates!J21</f>
        <v>146776739.39</v>
      </c>
      <c r="K21" s="4" t="n">
        <f aca="false">IFERROR(I21/C21,0)</f>
        <v>0.0125422093584178</v>
      </c>
      <c r="L21" s="4" t="n">
        <f aca="false">IFERROR(I21/E21,0)</f>
        <v>0.194756554307116</v>
      </c>
      <c r="M21" s="4" t="n">
        <f aca="false">IFERROR(I21/G21,0)</f>
        <v>0.0364784286215363</v>
      </c>
      <c r="N21" s="4" t="n">
        <f aca="false">IFERROR(J21/D21,0)</f>
        <v>0.0148596154801881</v>
      </c>
      <c r="O21" s="4" t="n">
        <f aca="false">IFERROR(J21/F21,0)</f>
        <v>0.282809772761894</v>
      </c>
      <c r="P21" s="4" t="n">
        <f aca="false">IFERROR(J21/H21,0)</f>
        <v>0.0400446890743983</v>
      </c>
      <c r="Q21" s="4" t="n">
        <f aca="false">IFERROR(F21/D21,0)</f>
        <v>0.0525427934652698</v>
      </c>
      <c r="R21" s="4" t="n">
        <f aca="false">IFERROR(H21/D21,0)</f>
        <v>0.371075811141414</v>
      </c>
      <c r="S21" s="4" t="str">
        <f aca="false">IF(A21="COMBINED","",IF(A21="ARC",O21,N21))</f>
        <v/>
      </c>
      <c r="T21" s="2" t="s">
        <v>31</v>
      </c>
      <c r="U21" s="2" t="n">
        <f aca="false">Aggregates!K21</f>
        <v>584</v>
      </c>
    </row>
  </sheetData>
  <autoFilter ref="A1:U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25</v>
      </c>
    </row>
    <row r="2" customFormat="false" ht="15" hidden="false" customHeight="false" outlineLevel="0" collapsed="false">
      <c r="A2" s="2" t="s">
        <v>26</v>
      </c>
      <c r="B2" s="2" t="n">
        <v>2022</v>
      </c>
      <c r="C2" s="2" t="n">
        <v>1095</v>
      </c>
      <c r="D2" s="2" t="n">
        <v>634362524</v>
      </c>
      <c r="E2" s="2" t="n">
        <v>76</v>
      </c>
      <c r="F2" s="2" t="n">
        <v>34374615</v>
      </c>
      <c r="G2" s="2" t="n">
        <v>252</v>
      </c>
      <c r="H2" s="2" t="n">
        <v>150959470</v>
      </c>
      <c r="I2" s="2" t="n">
        <v>5</v>
      </c>
      <c r="J2" s="2" t="n">
        <v>2162023</v>
      </c>
      <c r="K2" s="2" t="n">
        <v>110</v>
      </c>
    </row>
    <row r="3" customFormat="false" ht="15" hidden="false" customHeight="false" outlineLevel="0" collapsed="false">
      <c r="A3" s="2" t="s">
        <v>26</v>
      </c>
      <c r="B3" s="2" t="n">
        <v>2023</v>
      </c>
      <c r="C3" s="2" t="n">
        <v>1091</v>
      </c>
      <c r="D3" s="2" t="n">
        <v>1096077729</v>
      </c>
      <c r="E3" s="2" t="n">
        <v>76</v>
      </c>
      <c r="F3" s="2" t="n">
        <v>50915033</v>
      </c>
      <c r="G3" s="2" t="n">
        <v>252</v>
      </c>
      <c r="H3" s="2" t="n">
        <v>222345610</v>
      </c>
      <c r="I3" s="2" t="n">
        <v>5</v>
      </c>
      <c r="J3" s="2" t="n">
        <v>3157263</v>
      </c>
      <c r="K3" s="2" t="n">
        <v>101</v>
      </c>
    </row>
    <row r="4" customFormat="false" ht="15" hidden="false" customHeight="false" outlineLevel="0" collapsed="false">
      <c r="A4" s="2" t="s">
        <v>26</v>
      </c>
      <c r="B4" s="2" t="n">
        <v>2024</v>
      </c>
      <c r="C4" s="2" t="n">
        <v>997</v>
      </c>
      <c r="D4" s="2" t="n">
        <v>715930929</v>
      </c>
      <c r="E4" s="2" t="n">
        <v>90</v>
      </c>
      <c r="F4" s="2" t="n">
        <v>50293519</v>
      </c>
      <c r="G4" s="2" t="n">
        <v>221</v>
      </c>
      <c r="H4" s="2" t="n">
        <v>153265312</v>
      </c>
      <c r="I4" s="2" t="n">
        <v>7</v>
      </c>
      <c r="J4" s="2" t="n">
        <v>4890960</v>
      </c>
      <c r="K4" s="2" t="n">
        <v>118</v>
      </c>
    </row>
    <row r="5" customFormat="false" ht="15" hidden="false" customHeight="false" outlineLevel="0" collapsed="false">
      <c r="A5" s="2" t="s">
        <v>26</v>
      </c>
      <c r="B5" s="2" t="n">
        <v>2025</v>
      </c>
      <c r="C5" s="2" t="n">
        <v>1122</v>
      </c>
      <c r="D5" s="2" t="n">
        <v>883566939</v>
      </c>
      <c r="E5" s="2" t="n">
        <v>130</v>
      </c>
      <c r="F5" s="2" t="n">
        <v>101499058</v>
      </c>
      <c r="G5" s="2" t="n">
        <v>248</v>
      </c>
      <c r="H5" s="2" t="n">
        <v>195135313</v>
      </c>
      <c r="I5" s="2" t="n">
        <v>13</v>
      </c>
      <c r="J5" s="2" t="n">
        <v>12228209</v>
      </c>
      <c r="K5" s="2" t="n">
        <v>131</v>
      </c>
    </row>
    <row r="6" customFormat="false" ht="15" hidden="false" customHeight="false" outlineLevel="0" collapsed="false">
      <c r="A6" s="2" t="s">
        <v>26</v>
      </c>
      <c r="B6" s="2" t="s">
        <v>27</v>
      </c>
      <c r="C6" s="2" t="n">
        <v>4305</v>
      </c>
      <c r="D6" s="2" t="n">
        <v>3329938121</v>
      </c>
      <c r="E6" s="2" t="n">
        <v>372</v>
      </c>
      <c r="F6" s="2" t="n">
        <v>237082225</v>
      </c>
      <c r="G6" s="2" t="n">
        <v>973</v>
      </c>
      <c r="H6" s="2" t="n">
        <v>721705705</v>
      </c>
      <c r="I6" s="2" t="n">
        <v>30</v>
      </c>
      <c r="J6" s="2" t="n">
        <v>22438455</v>
      </c>
      <c r="K6" s="2" t="n">
        <v>460</v>
      </c>
    </row>
    <row r="7" customFormat="false" ht="15" hidden="false" customHeight="false" outlineLevel="0" collapsed="false">
      <c r="A7" s="2" t="s">
        <v>28</v>
      </c>
      <c r="B7" s="2" t="n">
        <v>2022</v>
      </c>
      <c r="C7" s="2" t="n">
        <v>725</v>
      </c>
      <c r="D7" s="2" t="n">
        <v>900071183.59</v>
      </c>
      <c r="E7" s="2" t="n">
        <v>21</v>
      </c>
      <c r="F7" s="2" t="n">
        <v>25566052.67</v>
      </c>
      <c r="G7" s="2" t="n">
        <v>381</v>
      </c>
      <c r="H7" s="2" t="n">
        <v>477208693.32</v>
      </c>
      <c r="I7" s="2" t="n">
        <v>11</v>
      </c>
      <c r="J7" s="2" t="n">
        <v>15449869.89</v>
      </c>
      <c r="K7" s="2" t="n">
        <v>21</v>
      </c>
    </row>
    <row r="8" customFormat="false" ht="15" hidden="false" customHeight="false" outlineLevel="0" collapsed="false">
      <c r="A8" s="2" t="s">
        <v>28</v>
      </c>
      <c r="B8" s="2" t="n">
        <v>2023</v>
      </c>
      <c r="C8" s="2" t="n">
        <v>686</v>
      </c>
      <c r="D8" s="2" t="n">
        <v>908263818.35</v>
      </c>
      <c r="E8" s="2" t="n">
        <v>20</v>
      </c>
      <c r="F8" s="2" t="n">
        <v>30311151.47</v>
      </c>
      <c r="G8" s="2" t="n">
        <v>398</v>
      </c>
      <c r="H8" s="2" t="n">
        <v>535172152.37</v>
      </c>
      <c r="I8" s="2" t="n">
        <v>12</v>
      </c>
      <c r="J8" s="2" t="n">
        <v>21710689.2</v>
      </c>
      <c r="K8" s="2" t="n">
        <v>19</v>
      </c>
    </row>
    <row r="9" customFormat="false" ht="15" hidden="false" customHeight="false" outlineLevel="0" collapsed="false">
      <c r="A9" s="2" t="s">
        <v>28</v>
      </c>
      <c r="B9" s="2" t="n">
        <v>2024</v>
      </c>
      <c r="C9" s="2" t="n">
        <v>740</v>
      </c>
      <c r="D9" s="2" t="n">
        <v>1005205527.93</v>
      </c>
      <c r="E9" s="2" t="n">
        <v>28</v>
      </c>
      <c r="F9" s="2" t="n">
        <v>33753024.35</v>
      </c>
      <c r="G9" s="2" t="n">
        <v>360</v>
      </c>
      <c r="H9" s="2" t="n">
        <v>504566490.1</v>
      </c>
      <c r="I9" s="2" t="n">
        <v>17</v>
      </c>
      <c r="J9" s="2" t="n">
        <v>23292562.3</v>
      </c>
      <c r="K9" s="2" t="n">
        <v>39</v>
      </c>
    </row>
    <row r="10" customFormat="false" ht="15" hidden="false" customHeight="false" outlineLevel="0" collapsed="false">
      <c r="A10" s="2" t="s">
        <v>28</v>
      </c>
      <c r="B10" s="2" t="n">
        <v>2025</v>
      </c>
      <c r="C10" s="2" t="n">
        <v>715</v>
      </c>
      <c r="D10" s="2" t="n">
        <v>1078625881.62</v>
      </c>
      <c r="E10" s="2" t="n">
        <v>36</v>
      </c>
      <c r="F10" s="2" t="n">
        <v>62011539.92</v>
      </c>
      <c r="G10" s="2" t="n">
        <v>376</v>
      </c>
      <c r="H10" s="2" t="n">
        <v>600262665.18</v>
      </c>
      <c r="I10" s="2" t="n">
        <v>17</v>
      </c>
      <c r="J10" s="2" t="n">
        <v>21366604.56</v>
      </c>
      <c r="K10" s="2" t="n">
        <v>17</v>
      </c>
    </row>
    <row r="11" customFormat="false" ht="15" hidden="false" customHeight="false" outlineLevel="0" collapsed="false">
      <c r="A11" s="2" t="s">
        <v>28</v>
      </c>
      <c r="B11" s="2" t="s">
        <v>27</v>
      </c>
      <c r="C11" s="2" t="n">
        <v>2866</v>
      </c>
      <c r="D11" s="2" t="n">
        <v>3892166411.49</v>
      </c>
      <c r="E11" s="2" t="n">
        <v>105</v>
      </c>
      <c r="F11" s="2" t="n">
        <v>151641768.41</v>
      </c>
      <c r="G11" s="2" t="n">
        <v>1515</v>
      </c>
      <c r="H11" s="2" t="n">
        <v>2117210000.97</v>
      </c>
      <c r="I11" s="2" t="n">
        <v>57</v>
      </c>
      <c r="J11" s="2" t="n">
        <v>81819725.95</v>
      </c>
      <c r="K11" s="2" t="n">
        <v>96</v>
      </c>
    </row>
    <row r="12" customFormat="false" ht="15" hidden="false" customHeight="false" outlineLevel="0" collapsed="false">
      <c r="A12" s="2" t="s">
        <v>29</v>
      </c>
      <c r="B12" s="2" t="n">
        <v>2022</v>
      </c>
      <c r="C12" s="2" t="n">
        <v>237</v>
      </c>
      <c r="D12" s="2" t="n">
        <v>534485030.22</v>
      </c>
      <c r="E12" s="2" t="n">
        <v>9</v>
      </c>
      <c r="F12" s="2" t="n">
        <v>12608735.6</v>
      </c>
      <c r="G12" s="2" t="n">
        <v>89</v>
      </c>
      <c r="H12" s="2" t="n">
        <v>199452270.39</v>
      </c>
      <c r="I12" s="2" t="n">
        <v>2</v>
      </c>
      <c r="J12" s="2" t="n">
        <v>1404055.7</v>
      </c>
      <c r="K12" s="2" t="n">
        <v>6</v>
      </c>
    </row>
    <row r="13" customFormat="false" ht="15" hidden="false" customHeight="false" outlineLevel="0" collapsed="false">
      <c r="A13" s="2" t="s">
        <v>29</v>
      </c>
      <c r="B13" s="2" t="n">
        <v>2023</v>
      </c>
      <c r="C13" s="2" t="n">
        <v>302</v>
      </c>
      <c r="D13" s="2" t="n">
        <v>697791254.42</v>
      </c>
      <c r="E13" s="2" t="n">
        <v>15</v>
      </c>
      <c r="F13" s="2" t="n">
        <v>38296762.75</v>
      </c>
      <c r="G13" s="2" t="n">
        <v>105</v>
      </c>
      <c r="H13" s="2" t="n">
        <v>233686419</v>
      </c>
      <c r="I13" s="2" t="n">
        <v>5</v>
      </c>
      <c r="J13" s="2" t="n">
        <v>11531602.96</v>
      </c>
      <c r="K13" s="2" t="n">
        <v>5</v>
      </c>
    </row>
    <row r="14" customFormat="false" ht="15" hidden="false" customHeight="false" outlineLevel="0" collapsed="false">
      <c r="A14" s="2" t="s">
        <v>29</v>
      </c>
      <c r="B14" s="2" t="n">
        <v>2024</v>
      </c>
      <c r="C14" s="2" t="n">
        <v>311</v>
      </c>
      <c r="D14" s="2" t="n">
        <v>734613711.13</v>
      </c>
      <c r="E14" s="2" t="n">
        <v>18</v>
      </c>
      <c r="F14" s="2" t="n">
        <v>45170751.43</v>
      </c>
      <c r="G14" s="2" t="n">
        <v>71</v>
      </c>
      <c r="H14" s="2" t="n">
        <v>173675695.06</v>
      </c>
      <c r="I14" s="2" t="n">
        <v>3</v>
      </c>
      <c r="J14" s="2" t="n">
        <v>11999010.36</v>
      </c>
      <c r="K14" s="2" t="n">
        <v>13</v>
      </c>
    </row>
    <row r="15" customFormat="false" ht="15" hidden="false" customHeight="false" outlineLevel="0" collapsed="false">
      <c r="A15" s="2" t="s">
        <v>29</v>
      </c>
      <c r="B15" s="2" t="n">
        <v>2025</v>
      </c>
      <c r="C15" s="2" t="n">
        <v>271</v>
      </c>
      <c r="D15" s="2" t="n">
        <v>688565196.33</v>
      </c>
      <c r="E15" s="2" t="n">
        <v>15</v>
      </c>
      <c r="F15" s="2" t="n">
        <v>34194337.36</v>
      </c>
      <c r="G15" s="2" t="n">
        <v>98</v>
      </c>
      <c r="H15" s="2" t="n">
        <v>219593396.48</v>
      </c>
      <c r="I15" s="2" t="n">
        <v>7</v>
      </c>
      <c r="J15" s="2" t="n">
        <v>17583889.42</v>
      </c>
      <c r="K15" s="2" t="n">
        <v>4</v>
      </c>
    </row>
    <row r="16" customFormat="false" ht="15" hidden="false" customHeight="false" outlineLevel="0" collapsed="false">
      <c r="A16" s="2" t="s">
        <v>29</v>
      </c>
      <c r="B16" s="2" t="s">
        <v>27</v>
      </c>
      <c r="C16" s="2" t="n">
        <v>1121</v>
      </c>
      <c r="D16" s="2" t="n">
        <v>2655455192.1</v>
      </c>
      <c r="E16" s="2" t="n">
        <v>57</v>
      </c>
      <c r="F16" s="2" t="n">
        <v>130270587.14</v>
      </c>
      <c r="G16" s="2" t="n">
        <v>363</v>
      </c>
      <c r="H16" s="2" t="n">
        <v>826407780.93</v>
      </c>
      <c r="I16" s="2" t="n">
        <v>17</v>
      </c>
      <c r="J16" s="2" t="n">
        <v>42518558.44</v>
      </c>
      <c r="K16" s="2" t="n">
        <v>28</v>
      </c>
    </row>
    <row r="17" customFormat="false" ht="15" hidden="false" customHeight="false" outlineLevel="0" collapsed="false">
      <c r="A17" s="2" t="s">
        <v>30</v>
      </c>
      <c r="B17" s="2" t="n">
        <v>2022</v>
      </c>
      <c r="C17" s="2" t="n">
        <v>2057</v>
      </c>
      <c r="D17" s="2" t="n">
        <v>2068918737.81</v>
      </c>
      <c r="E17" s="2" t="n">
        <v>106</v>
      </c>
      <c r="F17" s="2" t="n">
        <v>72549403.27</v>
      </c>
      <c r="G17" s="2" t="n">
        <v>722</v>
      </c>
      <c r="H17" s="2" t="n">
        <v>827620433.71</v>
      </c>
      <c r="I17" s="2" t="n">
        <v>18</v>
      </c>
      <c r="J17" s="2" t="n">
        <v>19015948.59</v>
      </c>
      <c r="K17" s="2" t="n">
        <v>137</v>
      </c>
    </row>
    <row r="18" customFormat="false" ht="15" hidden="false" customHeight="false" outlineLevel="0" collapsed="false">
      <c r="A18" s="2" t="s">
        <v>30</v>
      </c>
      <c r="B18" s="2" t="n">
        <v>2023</v>
      </c>
      <c r="C18" s="2" t="n">
        <v>2079</v>
      </c>
      <c r="D18" s="2" t="n">
        <v>2702132801.77</v>
      </c>
      <c r="E18" s="2" t="n">
        <v>111</v>
      </c>
      <c r="F18" s="2" t="n">
        <v>119522947.22</v>
      </c>
      <c r="G18" s="2" t="n">
        <v>755</v>
      </c>
      <c r="H18" s="2" t="n">
        <v>991204181.37</v>
      </c>
      <c r="I18" s="2" t="n">
        <v>22</v>
      </c>
      <c r="J18" s="2" t="n">
        <v>36399555.16</v>
      </c>
      <c r="K18" s="2" t="n">
        <v>125</v>
      </c>
    </row>
    <row r="19" customFormat="false" ht="15" hidden="false" customHeight="false" outlineLevel="0" collapsed="false">
      <c r="A19" s="2" t="s">
        <v>30</v>
      </c>
      <c r="B19" s="2" t="n">
        <v>2024</v>
      </c>
      <c r="C19" s="2" t="n">
        <v>2048</v>
      </c>
      <c r="D19" s="2" t="n">
        <v>2455750168.06</v>
      </c>
      <c r="E19" s="2" t="n">
        <v>136</v>
      </c>
      <c r="F19" s="2" t="n">
        <v>129217294.78</v>
      </c>
      <c r="G19" s="2" t="n">
        <v>652</v>
      </c>
      <c r="H19" s="2" t="n">
        <v>831507497.16</v>
      </c>
      <c r="I19" s="2" t="n">
        <v>27</v>
      </c>
      <c r="J19" s="2" t="n">
        <v>40182532.66</v>
      </c>
      <c r="K19" s="2" t="n">
        <v>170</v>
      </c>
    </row>
    <row r="20" customFormat="false" ht="15" hidden="false" customHeight="false" outlineLevel="0" collapsed="false">
      <c r="A20" s="2" t="s">
        <v>30</v>
      </c>
      <c r="B20" s="2" t="n">
        <v>2025</v>
      </c>
      <c r="C20" s="2" t="n">
        <v>2108</v>
      </c>
      <c r="D20" s="2" t="n">
        <v>2650758016.95</v>
      </c>
      <c r="E20" s="2" t="n">
        <v>181</v>
      </c>
      <c r="F20" s="2" t="n">
        <v>197704935.28</v>
      </c>
      <c r="G20" s="2" t="n">
        <v>722</v>
      </c>
      <c r="H20" s="2" t="n">
        <v>1014991374.66</v>
      </c>
      <c r="I20" s="2" t="n">
        <v>37</v>
      </c>
      <c r="J20" s="2" t="n">
        <v>51178702.98</v>
      </c>
      <c r="K20" s="2" t="n">
        <v>152</v>
      </c>
    </row>
    <row r="21" customFormat="false" ht="15" hidden="false" customHeight="false" outlineLevel="0" collapsed="false">
      <c r="A21" s="2" t="s">
        <v>30</v>
      </c>
      <c r="B21" s="2" t="s">
        <v>27</v>
      </c>
      <c r="C21" s="2" t="n">
        <v>8292</v>
      </c>
      <c r="D21" s="2" t="n">
        <v>9877559724.59</v>
      </c>
      <c r="E21" s="2" t="n">
        <v>534</v>
      </c>
      <c r="F21" s="2" t="n">
        <v>518994580.55</v>
      </c>
      <c r="G21" s="2" t="n">
        <v>2851</v>
      </c>
      <c r="H21" s="2" t="n">
        <v>3665323486.9</v>
      </c>
      <c r="I21" s="2" t="n">
        <v>104</v>
      </c>
      <c r="J21" s="2" t="n">
        <v>146776739.39</v>
      </c>
      <c r="K21" s="2" t="n">
        <v>584</v>
      </c>
    </row>
  </sheetData>
  <autoFilter ref="A1:K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6"/>
  </cols>
  <sheetData>
    <row r="1" customFormat="false" ht="15" hidden="false" customHeight="false" outlineLevel="0" collapsed="false">
      <c r="A1" s="1" t="s">
        <v>32</v>
      </c>
      <c r="B1" s="1" t="s">
        <v>33</v>
      </c>
    </row>
    <row r="2" customFormat="false" ht="23.85" hidden="false" customHeight="false" outlineLevel="0" collapsed="false">
      <c r="A2" s="2" t="s">
        <v>34</v>
      </c>
      <c r="B2" s="2" t="s">
        <v>35</v>
      </c>
    </row>
    <row r="3" customFormat="false" ht="46.25" hidden="false" customHeight="false" outlineLevel="0" collapsed="false">
      <c r="A3" s="2" t="s">
        <v>36</v>
      </c>
      <c r="B3" s="2" t="s">
        <v>37</v>
      </c>
    </row>
    <row r="4" customFormat="false" ht="57.45" hidden="false" customHeight="false" outlineLevel="0" collapsed="false">
      <c r="A4" s="2" t="s">
        <v>38</v>
      </c>
      <c r="B4" s="2" t="s">
        <v>39</v>
      </c>
    </row>
    <row r="5" customFormat="false" ht="91" hidden="false" customHeight="false" outlineLevel="0" collapsed="false">
      <c r="A5" s="2" t="s">
        <v>40</v>
      </c>
      <c r="B5" s="2" t="s">
        <v>41</v>
      </c>
    </row>
    <row r="6" customFormat="false" ht="102.2" hidden="false" customHeight="false" outlineLevel="0" collapsed="false">
      <c r="A6" s="2" t="s">
        <v>42</v>
      </c>
      <c r="B6" s="2" t="s">
        <v>43</v>
      </c>
    </row>
    <row r="7" customFormat="false" ht="35.05" hidden="false" customHeight="false" outlineLevel="0" collapsed="false">
      <c r="A7" s="2" t="s">
        <v>44</v>
      </c>
      <c r="B7" s="2" t="s">
        <v>45</v>
      </c>
    </row>
    <row r="8" customFormat="false" ht="35.05" hidden="false" customHeight="false" outlineLevel="0" collapsed="false">
      <c r="A8" s="2" t="s">
        <v>46</v>
      </c>
      <c r="B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</row>
    <row r="10" customFormat="false" ht="79.85" hidden="false" customHeight="false" outlineLevel="0" collapsed="false">
      <c r="A10" s="2" t="s">
        <v>50</v>
      </c>
      <c r="B10" s="2" t="s">
        <v>51</v>
      </c>
    </row>
  </sheetData>
  <autoFilter ref="A1:B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2026-09-25T00:17:56Z</dcterms:created>
  <dc:creator>openpyxl</dc:creator>
  <dc:description/>
  <dc:language>en-US</dc:language>
  <cp:lastModifiedBy/>
  <dcterms:modified xsi:type="dcterms:W3CDTF">2026-09-25T00:17:56Z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